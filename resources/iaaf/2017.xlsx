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05" yWindow="105" windowWidth="10005" windowHeight="7005" tabRatio="682"/>
  </bookViews>
  <sheets>
    <sheet name="2017 AL MASC" sheetId="15" r:id="rId1"/>
    <sheet name="2017 PC MASC" sheetId="22" r:id="rId2"/>
    <sheet name="2017 AL FEM" sheetId="21" r:id="rId3"/>
    <sheet name="2017 PC FEM" sheetId="23" r:id="rId4"/>
  </sheets>
  <calcPr calcId="125725"/>
</workbook>
</file>

<file path=xl/calcChain.xml><?xml version="1.0" encoding="utf-8"?>
<calcChain xmlns="http://schemas.openxmlformats.org/spreadsheetml/2006/main">
  <c r="F19" i="23"/>
  <c r="F28"/>
  <c r="F3"/>
  <c r="F27"/>
  <c r="F26"/>
  <c r="F25"/>
  <c r="F24"/>
  <c r="F23"/>
  <c r="E22"/>
  <c r="F22" s="1"/>
  <c r="E21"/>
  <c r="F21" s="1"/>
  <c r="E20"/>
  <c r="F20" s="1"/>
  <c r="E19"/>
  <c r="E18"/>
  <c r="F18" s="1"/>
  <c r="E17"/>
  <c r="F17" s="1"/>
  <c r="E16"/>
  <c r="F16" s="1"/>
  <c r="E15"/>
  <c r="F15" s="1"/>
  <c r="E14"/>
  <c r="F14" s="1"/>
  <c r="E13"/>
  <c r="F13" s="1"/>
  <c r="E12"/>
  <c r="F12" s="1"/>
  <c r="E11"/>
  <c r="F11" s="1"/>
  <c r="E10"/>
  <c r="F10" s="1"/>
  <c r="E9"/>
  <c r="F9" s="1"/>
  <c r="E8"/>
  <c r="F8" s="1"/>
  <c r="E7"/>
  <c r="F7" s="1"/>
  <c r="E6"/>
  <c r="F6" s="1"/>
  <c r="E5"/>
  <c r="F5" s="1"/>
  <c r="E4"/>
  <c r="F4" s="1"/>
  <c r="E3"/>
  <c r="E2"/>
  <c r="F2" s="1"/>
  <c r="F28" i="22"/>
  <c r="F20"/>
  <c r="E20"/>
  <c r="F27"/>
  <c r="F26"/>
  <c r="F25"/>
  <c r="F24"/>
  <c r="F23"/>
  <c r="E22"/>
  <c r="F22" s="1"/>
  <c r="E21"/>
  <c r="F21" s="1"/>
  <c r="E19"/>
  <c r="F19" s="1"/>
  <c r="E18"/>
  <c r="F18" s="1"/>
  <c r="E17"/>
  <c r="F17" s="1"/>
  <c r="E16"/>
  <c r="F16" s="1"/>
  <c r="E15"/>
  <c r="F15" s="1"/>
  <c r="E14"/>
  <c r="F14" s="1"/>
  <c r="E13"/>
  <c r="F13" s="1"/>
  <c r="E12"/>
  <c r="F12" s="1"/>
  <c r="E11"/>
  <c r="F11" s="1"/>
  <c r="E10"/>
  <c r="F10" s="1"/>
  <c r="E9"/>
  <c r="F9" s="1"/>
  <c r="E8"/>
  <c r="F8" s="1"/>
  <c r="E7"/>
  <c r="F7" s="1"/>
  <c r="E6"/>
  <c r="F6" s="1"/>
  <c r="E5"/>
  <c r="F5" s="1"/>
  <c r="E4"/>
  <c r="F4" s="1"/>
  <c r="E3"/>
  <c r="F3" s="1"/>
  <c r="E2"/>
  <c r="F2" s="1"/>
  <c r="F46" i="21"/>
  <c r="F45"/>
  <c r="F44"/>
  <c r="F43"/>
  <c r="F42"/>
  <c r="F41"/>
  <c r="F40"/>
  <c r="F39"/>
  <c r="F38"/>
  <c r="E15"/>
  <c r="F15" s="1"/>
  <c r="E37"/>
  <c r="F37" s="1"/>
  <c r="E36"/>
  <c r="F36" s="1"/>
  <c r="E35"/>
  <c r="F35" s="1"/>
  <c r="E34"/>
  <c r="F34" s="1"/>
  <c r="E33"/>
  <c r="F33" s="1"/>
  <c r="E32"/>
  <c r="F32" s="1"/>
  <c r="E24"/>
  <c r="F24" s="1"/>
  <c r="E23"/>
  <c r="F23" s="1"/>
  <c r="E22"/>
  <c r="F22" s="1"/>
  <c r="E21"/>
  <c r="F21" s="1"/>
  <c r="E20"/>
  <c r="F20" s="1"/>
  <c r="E19"/>
  <c r="F19" s="1"/>
  <c r="E18"/>
  <c r="F18" s="1"/>
  <c r="E17"/>
  <c r="F17" s="1"/>
  <c r="E16"/>
  <c r="F16" s="1"/>
  <c r="E14"/>
  <c r="F14" s="1"/>
  <c r="E13"/>
  <c r="F13" s="1"/>
  <c r="E28"/>
  <c r="F28" s="1"/>
  <c r="E12"/>
  <c r="F12" s="1"/>
  <c r="E27"/>
  <c r="F27" s="1"/>
  <c r="E11"/>
  <c r="F11" s="1"/>
  <c r="E10"/>
  <c r="F10" s="1"/>
  <c r="E9"/>
  <c r="F9" s="1"/>
  <c r="E8"/>
  <c r="F8" s="1"/>
  <c r="E7"/>
  <c r="F7" s="1"/>
  <c r="E6"/>
  <c r="F6" s="1"/>
  <c r="E31"/>
  <c r="F31" s="1"/>
  <c r="E30"/>
  <c r="F30" s="1"/>
  <c r="E29"/>
  <c r="F29" s="1"/>
  <c r="E26"/>
  <c r="F26" s="1"/>
  <c r="E5"/>
  <c r="F5" s="1"/>
  <c r="E4"/>
  <c r="F4" s="1"/>
  <c r="E3"/>
  <c r="F3" s="1"/>
  <c r="E25"/>
  <c r="F25" s="1"/>
  <c r="E2"/>
  <c r="F2" s="1"/>
  <c r="E29" i="15"/>
  <c r="F29" s="1"/>
  <c r="E25"/>
  <c r="E3"/>
  <c r="E4"/>
  <c r="F4" s="1"/>
  <c r="E5"/>
  <c r="E26"/>
  <c r="F26" s="1"/>
  <c r="E30"/>
  <c r="F30" s="1"/>
  <c r="E31"/>
  <c r="F31" s="1"/>
  <c r="E6"/>
  <c r="F6" s="1"/>
  <c r="E7"/>
  <c r="F7" s="1"/>
  <c r="E8"/>
  <c r="F8" s="1"/>
  <c r="E9"/>
  <c r="E10"/>
  <c r="F10" s="1"/>
  <c r="E11"/>
  <c r="F11" s="1"/>
  <c r="E27"/>
  <c r="F27" s="1"/>
  <c r="E12"/>
  <c r="E28"/>
  <c r="E13"/>
  <c r="F13" s="1"/>
  <c r="E14"/>
  <c r="E15"/>
  <c r="F15" s="1"/>
  <c r="E16"/>
  <c r="F16" s="1"/>
  <c r="E17"/>
  <c r="E18"/>
  <c r="F18" s="1"/>
  <c r="E19"/>
  <c r="F19" s="1"/>
  <c r="E20"/>
  <c r="F20" s="1"/>
  <c r="E21"/>
  <c r="E22"/>
  <c r="F22" s="1"/>
  <c r="E23"/>
  <c r="F23" s="1"/>
  <c r="E24"/>
  <c r="F24" s="1"/>
  <c r="E32"/>
  <c r="F32" s="1"/>
  <c r="E33"/>
  <c r="F33" s="1"/>
  <c r="E34"/>
  <c r="E35"/>
  <c r="F35" s="1"/>
  <c r="E36"/>
  <c r="E37"/>
  <c r="F37" s="1"/>
  <c r="E38"/>
  <c r="F38" s="1"/>
  <c r="E2"/>
  <c r="F2" s="1"/>
  <c r="F36"/>
  <c r="F34"/>
  <c r="F47"/>
  <c r="F46"/>
  <c r="F45"/>
  <c r="F44"/>
  <c r="F43"/>
  <c r="F42"/>
  <c r="F41"/>
  <c r="F40"/>
  <c r="F39"/>
  <c r="F21"/>
  <c r="F17"/>
  <c r="F28"/>
  <c r="F25"/>
  <c r="F14"/>
  <c r="F12"/>
  <c r="F9"/>
  <c r="F5"/>
  <c r="F3"/>
</calcChain>
</file>

<file path=xl/sharedStrings.xml><?xml version="1.0" encoding="utf-8"?>
<sst xmlns="http://schemas.openxmlformats.org/spreadsheetml/2006/main" count="165" uniqueCount="63">
  <si>
    <t>2000m</t>
  </si>
  <si>
    <t>Decathlon</t>
  </si>
  <si>
    <t>4x400m</t>
  </si>
  <si>
    <t>Heptathlon</t>
  </si>
  <si>
    <t>10000m</t>
  </si>
  <si>
    <t>Marathon</t>
  </si>
  <si>
    <t>100m</t>
  </si>
  <si>
    <t>110mH</t>
  </si>
  <si>
    <t>200m</t>
  </si>
  <si>
    <t>300m</t>
  </si>
  <si>
    <t>400m</t>
  </si>
  <si>
    <t>400mH</t>
  </si>
  <si>
    <t>4x100m</t>
  </si>
  <si>
    <t>4x200m</t>
  </si>
  <si>
    <t>Marca</t>
  </si>
  <si>
    <t>Puntos</t>
  </si>
  <si>
    <t>600m</t>
  </si>
  <si>
    <t>800m</t>
  </si>
  <si>
    <t>1000m</t>
  </si>
  <si>
    <t>1500m</t>
  </si>
  <si>
    <t>Mile</t>
  </si>
  <si>
    <t>2000mSC</t>
  </si>
  <si>
    <t>3000m</t>
  </si>
  <si>
    <t>3000mSC</t>
  </si>
  <si>
    <t>2Miles</t>
  </si>
  <si>
    <t>5000m</t>
  </si>
  <si>
    <t>10km</t>
  </si>
  <si>
    <t>15km</t>
  </si>
  <si>
    <t>10Miles</t>
  </si>
  <si>
    <t>20km</t>
  </si>
  <si>
    <t>HM</t>
  </si>
  <si>
    <t>25km</t>
  </si>
  <si>
    <t>30km</t>
  </si>
  <si>
    <t>100km</t>
  </si>
  <si>
    <t>3kmW</t>
  </si>
  <si>
    <t>5kmW</t>
  </si>
  <si>
    <t>10kmW</t>
  </si>
  <si>
    <t>20kmW</t>
  </si>
  <si>
    <t>30kmW</t>
  </si>
  <si>
    <t>35kmW</t>
  </si>
  <si>
    <t>50kmW</t>
  </si>
  <si>
    <t>HJ</t>
  </si>
  <si>
    <t>PV</t>
  </si>
  <si>
    <t>LJ</t>
  </si>
  <si>
    <t>TJ</t>
  </si>
  <si>
    <t>SP</t>
  </si>
  <si>
    <t>DT</t>
  </si>
  <si>
    <t>HT</t>
  </si>
  <si>
    <t>JT</t>
  </si>
  <si>
    <t>100mH</t>
  </si>
  <si>
    <t>horas</t>
  </si>
  <si>
    <t>minutos</t>
  </si>
  <si>
    <t>segundos</t>
  </si>
  <si>
    <t>50m</t>
  </si>
  <si>
    <t>55m</t>
  </si>
  <si>
    <t>60m</t>
  </si>
  <si>
    <t>500m</t>
  </si>
  <si>
    <t>1Mile</t>
  </si>
  <si>
    <t>2Mile</t>
  </si>
  <si>
    <t>50mH</t>
  </si>
  <si>
    <t>60mH</t>
  </si>
  <si>
    <t>55mH</t>
  </si>
  <si>
    <t>Pentathlon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</si>
</sst>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Fill="1"/>
    <xf numFmtId="0" fontId="0" fillId="0" borderId="0" xfId="0" applyFill="1" applyProtection="1"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tabSelected="1" workbookViewId="0">
      <pane ySplit="1" topLeftCell="A2" activePane="bottomLeft" state="frozen"/>
      <selection pane="bottomLeft" activeCell="F20" sqref="F20"/>
    </sheetView>
  </sheetViews>
  <sheetFormatPr baseColWidth="10" defaultRowHeight="12.75"/>
  <cols>
    <col min="1" max="1" width="11.42578125" style="2"/>
    <col min="2" max="2" width="5.5703125" style="2" bestFit="1" customWidth="1"/>
    <col min="3" max="3" width="7.5703125" style="2" bestFit="1" customWidth="1"/>
    <col min="4" max="4" width="9" style="2" bestFit="1" customWidth="1"/>
  </cols>
  <sheetData>
    <row r="1" spans="1:6">
      <c r="B1" s="2" t="s">
        <v>50</v>
      </c>
      <c r="C1" s="2" t="s">
        <v>51</v>
      </c>
      <c r="D1" s="2" t="s">
        <v>52</v>
      </c>
      <c r="E1" t="s">
        <v>14</v>
      </c>
      <c r="F1" t="s">
        <v>15</v>
      </c>
    </row>
    <row r="2" spans="1:6">
      <c r="A2" s="1" t="s">
        <v>6</v>
      </c>
      <c r="B2" s="3"/>
      <c r="C2" s="3"/>
      <c r="D2" s="3">
        <v>10.96</v>
      </c>
      <c r="E2">
        <f>B2*3600+C2*60+D2</f>
        <v>10.96</v>
      </c>
      <c r="F2">
        <f>INT(24.63*(17-E2)^2)</f>
        <v>898</v>
      </c>
    </row>
    <row r="3" spans="1:6">
      <c r="A3" s="1" t="s">
        <v>8</v>
      </c>
      <c r="B3" s="3"/>
      <c r="C3" s="3"/>
      <c r="D3" s="3">
        <v>22.19</v>
      </c>
      <c r="E3">
        <f t="shared" ref="E3:E38" si="0">B3*3600+C3*60+D3</f>
        <v>22.19</v>
      </c>
      <c r="F3">
        <f>INT(5.08*(35.5-E3)^2)</f>
        <v>899</v>
      </c>
    </row>
    <row r="4" spans="1:6">
      <c r="A4" s="1" t="s">
        <v>9</v>
      </c>
      <c r="B4" s="3"/>
      <c r="C4" s="3"/>
      <c r="D4" s="3">
        <v>35.020000000000003</v>
      </c>
      <c r="E4">
        <f t="shared" si="0"/>
        <v>35.020000000000003</v>
      </c>
      <c r="F4">
        <f>INT(1.83*(57.2-E4)^2)</f>
        <v>900</v>
      </c>
    </row>
    <row r="5" spans="1:6">
      <c r="A5" s="1" t="s">
        <v>10</v>
      </c>
      <c r="B5" s="3"/>
      <c r="C5" s="3"/>
      <c r="D5" s="3">
        <v>49.31</v>
      </c>
      <c r="E5">
        <f t="shared" si="0"/>
        <v>49.31</v>
      </c>
      <c r="F5">
        <f>INT(1.021*(79-E5)^2)</f>
        <v>900</v>
      </c>
    </row>
    <row r="6" spans="1:6">
      <c r="A6" s="1" t="s">
        <v>16</v>
      </c>
      <c r="B6" s="3"/>
      <c r="C6" s="3">
        <v>1</v>
      </c>
      <c r="D6" s="3">
        <v>21.47</v>
      </c>
      <c r="E6">
        <f t="shared" si="0"/>
        <v>81.47</v>
      </c>
      <c r="F6">
        <f>INT(0.367*(131-E6)^2)</f>
        <v>900</v>
      </c>
    </row>
    <row r="7" spans="1:6">
      <c r="A7" s="1" t="s">
        <v>17</v>
      </c>
      <c r="B7" s="3"/>
      <c r="C7" s="3">
        <v>1</v>
      </c>
      <c r="D7" s="3">
        <v>54.58</v>
      </c>
      <c r="E7">
        <f t="shared" si="0"/>
        <v>114.58</v>
      </c>
      <c r="F7">
        <f>INT(0.198*(182-E7)^2)</f>
        <v>900</v>
      </c>
    </row>
    <row r="8" spans="1:6">
      <c r="A8" s="1" t="s">
        <v>18</v>
      </c>
      <c r="B8" s="3"/>
      <c r="C8" s="3">
        <v>2</v>
      </c>
      <c r="D8" s="3">
        <v>28.45</v>
      </c>
      <c r="E8">
        <f t="shared" si="0"/>
        <v>148.44999999999999</v>
      </c>
      <c r="F8">
        <f>INT(0.1074*(240-E8)^2)</f>
        <v>900</v>
      </c>
    </row>
    <row r="9" spans="1:6">
      <c r="A9" s="1" t="s">
        <v>19</v>
      </c>
      <c r="B9" s="3"/>
      <c r="C9" s="3">
        <v>3</v>
      </c>
      <c r="D9" s="3">
        <v>56.22</v>
      </c>
      <c r="E9">
        <f t="shared" si="0"/>
        <v>236.22</v>
      </c>
      <c r="F9">
        <f>INT(0.04066*(385-E9)^2)</f>
        <v>900</v>
      </c>
    </row>
    <row r="10" spans="1:6">
      <c r="A10" s="1" t="s">
        <v>20</v>
      </c>
      <c r="B10" s="3"/>
      <c r="C10" s="3">
        <v>4</v>
      </c>
      <c r="D10" s="3">
        <v>14.87</v>
      </c>
      <c r="E10">
        <f t="shared" si="0"/>
        <v>254.87</v>
      </c>
      <c r="F10">
        <f>INT(0.0351*(415-E10)^2)</f>
        <v>900</v>
      </c>
    </row>
    <row r="11" spans="1:6">
      <c r="A11" s="1" t="s">
        <v>0</v>
      </c>
      <c r="B11" s="3"/>
      <c r="C11" s="3">
        <v>5</v>
      </c>
      <c r="D11" s="3">
        <v>24.86</v>
      </c>
      <c r="E11">
        <f t="shared" si="0"/>
        <v>324.86</v>
      </c>
      <c r="F11">
        <f>INT(0.02181*(528-E11)^2)</f>
        <v>900</v>
      </c>
    </row>
    <row r="12" spans="1:6">
      <c r="A12" s="1" t="s">
        <v>22</v>
      </c>
      <c r="B12" s="3"/>
      <c r="C12" s="3">
        <v>8</v>
      </c>
      <c r="D12" s="3">
        <v>27.69</v>
      </c>
      <c r="E12">
        <f t="shared" si="0"/>
        <v>507.69</v>
      </c>
      <c r="F12">
        <f>INT(0.00815*(840-E12)^2)</f>
        <v>900</v>
      </c>
    </row>
    <row r="13" spans="1:6">
      <c r="A13" s="1" t="s">
        <v>24</v>
      </c>
      <c r="B13" s="3"/>
      <c r="C13" s="3">
        <v>9</v>
      </c>
      <c r="D13" s="3">
        <v>6.99</v>
      </c>
      <c r="E13">
        <f t="shared" si="0"/>
        <v>546.99</v>
      </c>
      <c r="F13">
        <f>INT(0.00703*(904.8-E13)^2)</f>
        <v>900</v>
      </c>
    </row>
    <row r="14" spans="1:6">
      <c r="A14" s="1" t="s">
        <v>25</v>
      </c>
      <c r="B14" s="3"/>
      <c r="C14" s="3">
        <v>14</v>
      </c>
      <c r="D14" s="3">
        <v>30.81</v>
      </c>
      <c r="E14">
        <f t="shared" si="0"/>
        <v>870.81</v>
      </c>
      <c r="F14">
        <f>INT(0.002778*(1440-E14)^2)</f>
        <v>900</v>
      </c>
    </row>
    <row r="15" spans="1:6">
      <c r="A15" s="1" t="s">
        <v>4</v>
      </c>
      <c r="B15" s="3"/>
      <c r="C15" s="3">
        <v>30</v>
      </c>
      <c r="D15" s="3">
        <v>39.44</v>
      </c>
      <c r="E15">
        <f t="shared" si="0"/>
        <v>1839.44</v>
      </c>
      <c r="F15">
        <f>INT(0.000524*(3150-E15)^2)</f>
        <v>900</v>
      </c>
    </row>
    <row r="16" spans="1:6">
      <c r="A16" s="1" t="s">
        <v>26</v>
      </c>
      <c r="B16" s="3"/>
      <c r="C16" s="3">
        <v>30</v>
      </c>
      <c r="D16" s="3">
        <v>45</v>
      </c>
      <c r="E16">
        <f t="shared" si="0"/>
        <v>1845</v>
      </c>
      <c r="F16">
        <f>INT(0.00052841*(3150-E16)^2)</f>
        <v>899</v>
      </c>
    </row>
    <row r="17" spans="1:6">
      <c r="A17" s="1" t="s">
        <v>27</v>
      </c>
      <c r="B17" s="3"/>
      <c r="C17" s="3">
        <v>47</v>
      </c>
      <c r="D17" s="3">
        <v>7</v>
      </c>
      <c r="E17">
        <f t="shared" si="0"/>
        <v>2827</v>
      </c>
      <c r="F17">
        <f>INT(0.0002162*(4868-E17)^2)</f>
        <v>900</v>
      </c>
    </row>
    <row r="18" spans="1:6">
      <c r="A18" s="1" t="s">
        <v>28</v>
      </c>
      <c r="B18" s="3"/>
      <c r="C18" s="3">
        <v>50</v>
      </c>
      <c r="D18" s="3">
        <v>45</v>
      </c>
      <c r="E18">
        <f t="shared" si="0"/>
        <v>3045</v>
      </c>
      <c r="F18">
        <f>INT(0.0001852*(5250-E18)^2)</f>
        <v>900</v>
      </c>
    </row>
    <row r="19" spans="1:6">
      <c r="A19" s="1" t="s">
        <v>29</v>
      </c>
      <c r="B19" s="3">
        <v>1</v>
      </c>
      <c r="C19" s="3">
        <v>3</v>
      </c>
      <c r="D19" s="3">
        <v>47</v>
      </c>
      <c r="E19">
        <f t="shared" si="0"/>
        <v>3827</v>
      </c>
      <c r="F19">
        <f>INT(0.0001147*(6629-E19)^2)</f>
        <v>900</v>
      </c>
    </row>
    <row r="20" spans="1:6">
      <c r="A20" s="1" t="s">
        <v>30</v>
      </c>
      <c r="B20" s="3">
        <v>1</v>
      </c>
      <c r="C20" s="3">
        <v>7</v>
      </c>
      <c r="D20" s="3">
        <v>29</v>
      </c>
      <c r="E20">
        <f t="shared" si="0"/>
        <v>4049</v>
      </c>
      <c r="F20">
        <f>INT(0.000102*(7020-E20)^2)</f>
        <v>900</v>
      </c>
    </row>
    <row r="21" spans="1:6">
      <c r="A21" s="1" t="s">
        <v>31</v>
      </c>
      <c r="B21" s="3">
        <v>1</v>
      </c>
      <c r="C21" s="3">
        <v>21</v>
      </c>
      <c r="D21" s="3">
        <v>28</v>
      </c>
      <c r="E21">
        <f t="shared" si="0"/>
        <v>4888</v>
      </c>
      <c r="F21">
        <f>INT(0.00006765*(8536-E21)^2)</f>
        <v>900</v>
      </c>
    </row>
    <row r="22" spans="1:6">
      <c r="A22" s="1" t="s">
        <v>32</v>
      </c>
      <c r="B22" s="3">
        <v>1</v>
      </c>
      <c r="C22" s="3">
        <v>39</v>
      </c>
      <c r="D22" s="3">
        <v>43</v>
      </c>
      <c r="E22">
        <f t="shared" si="0"/>
        <v>5983</v>
      </c>
      <c r="F22">
        <f>INT(0.00004353*(10531-E22)^2)</f>
        <v>900</v>
      </c>
    </row>
    <row r="23" spans="1:6">
      <c r="A23" s="1" t="s">
        <v>5</v>
      </c>
      <c r="B23" s="3">
        <v>2</v>
      </c>
      <c r="C23" s="3">
        <v>25</v>
      </c>
      <c r="D23" s="3">
        <v>35</v>
      </c>
      <c r="E23">
        <f t="shared" si="0"/>
        <v>8735</v>
      </c>
      <c r="F23">
        <f>INT(0.0000191*(15600-E23)^2)</f>
        <v>900</v>
      </c>
    </row>
    <row r="24" spans="1:6">
      <c r="A24" s="1" t="s">
        <v>33</v>
      </c>
      <c r="B24" s="3">
        <v>7</v>
      </c>
      <c r="C24" s="3">
        <v>13</v>
      </c>
      <c r="D24" s="3">
        <v>38</v>
      </c>
      <c r="E24">
        <f t="shared" si="0"/>
        <v>26018</v>
      </c>
      <c r="F24">
        <f>INT(0.000001765*(48600-E24)^2)</f>
        <v>900</v>
      </c>
    </row>
    <row r="25" spans="1:6">
      <c r="A25" s="1" t="s">
        <v>7</v>
      </c>
      <c r="B25" s="3"/>
      <c r="C25" s="3"/>
      <c r="D25" s="3">
        <v>14.96</v>
      </c>
      <c r="E25">
        <f t="shared" ref="E25:E31" si="1">B25*3600+C25*60+D25</f>
        <v>14.96</v>
      </c>
      <c r="F25">
        <f>INT(7.66*(25.8-E25)^2)</f>
        <v>900</v>
      </c>
    </row>
    <row r="26" spans="1:6">
      <c r="A26" s="1" t="s">
        <v>11</v>
      </c>
      <c r="B26" s="3"/>
      <c r="C26" s="3"/>
      <c r="D26" s="3">
        <v>54.9</v>
      </c>
      <c r="E26">
        <f t="shared" si="1"/>
        <v>54.9</v>
      </c>
      <c r="F26">
        <f>INT(0.546*(95.5-E26)^2)</f>
        <v>900</v>
      </c>
    </row>
    <row r="27" spans="1:6">
      <c r="A27" s="1" t="s">
        <v>21</v>
      </c>
      <c r="B27" s="3"/>
      <c r="C27" s="3">
        <v>6</v>
      </c>
      <c r="D27" s="3">
        <v>3.39</v>
      </c>
      <c r="E27">
        <f t="shared" si="1"/>
        <v>363.39</v>
      </c>
      <c r="F27">
        <f>INT(0.01023*(660-E27)^2)</f>
        <v>900</v>
      </c>
    </row>
    <row r="28" spans="1:6">
      <c r="A28" s="1" t="s">
        <v>23</v>
      </c>
      <c r="B28" s="3"/>
      <c r="C28" s="3">
        <v>9</v>
      </c>
      <c r="D28" s="3">
        <v>23.35</v>
      </c>
      <c r="E28">
        <f t="shared" si="1"/>
        <v>563.35</v>
      </c>
      <c r="F28">
        <f>INT(0.004316*(1020-E28)^2)</f>
        <v>900</v>
      </c>
    </row>
    <row r="29" spans="1:6">
      <c r="A29" s="1" t="s">
        <v>12</v>
      </c>
      <c r="B29" s="3"/>
      <c r="C29" s="3"/>
      <c r="D29" s="3">
        <v>42.51</v>
      </c>
      <c r="E29">
        <f t="shared" si="1"/>
        <v>42.51</v>
      </c>
      <c r="F29">
        <f>INT(1.236*(69.5-E29)^2)</f>
        <v>900</v>
      </c>
    </row>
    <row r="30" spans="1:6">
      <c r="A30" s="1" t="s">
        <v>13</v>
      </c>
      <c r="B30" s="3"/>
      <c r="C30" s="3">
        <v>1</v>
      </c>
      <c r="D30" s="3">
        <v>29.01</v>
      </c>
      <c r="E30">
        <f t="shared" si="1"/>
        <v>89.01</v>
      </c>
      <c r="F30">
        <f>INT(0.29767*(144-E30)^2)</f>
        <v>900</v>
      </c>
    </row>
    <row r="31" spans="1:6">
      <c r="A31" s="1" t="s">
        <v>2</v>
      </c>
      <c r="B31" s="3"/>
      <c r="C31" s="3">
        <v>3</v>
      </c>
      <c r="D31" s="3">
        <v>20.18</v>
      </c>
      <c r="E31">
        <f t="shared" si="1"/>
        <v>200.18</v>
      </c>
      <c r="F31">
        <f>INT(0.05026*(334-E31)^2)</f>
        <v>900</v>
      </c>
    </row>
    <row r="32" spans="1:6">
      <c r="A32" s="1" t="s">
        <v>34</v>
      </c>
      <c r="B32" s="3"/>
      <c r="C32" s="3">
        <v>13</v>
      </c>
      <c r="D32" s="3">
        <v>7</v>
      </c>
      <c r="E32">
        <f t="shared" si="0"/>
        <v>787</v>
      </c>
      <c r="F32">
        <f>INT(0.001209*(1650-E32)^2)</f>
        <v>900</v>
      </c>
    </row>
    <row r="33" spans="1:6">
      <c r="A33" s="1" t="s">
        <v>35</v>
      </c>
      <c r="B33" s="3"/>
      <c r="C33" s="3">
        <v>22</v>
      </c>
      <c r="D33" s="3">
        <v>3</v>
      </c>
      <c r="E33">
        <f t="shared" si="0"/>
        <v>1323</v>
      </c>
      <c r="F33">
        <f>INT(0.000436*(2760-E33)^2)</f>
        <v>900</v>
      </c>
    </row>
    <row r="34" spans="1:6">
      <c r="A34" s="1" t="s">
        <v>36</v>
      </c>
      <c r="B34" s="3"/>
      <c r="C34" s="3">
        <v>45</v>
      </c>
      <c r="D34" s="3">
        <v>42</v>
      </c>
      <c r="E34">
        <f t="shared" si="0"/>
        <v>2742</v>
      </c>
      <c r="F34">
        <f>INT(0.0001118*(5580-E34)^2)</f>
        <v>900</v>
      </c>
    </row>
    <row r="35" spans="1:6">
      <c r="A35" s="1" t="s">
        <v>37</v>
      </c>
      <c r="B35" s="3">
        <v>1</v>
      </c>
      <c r="C35" s="3">
        <v>34</v>
      </c>
      <c r="D35" s="3">
        <v>23</v>
      </c>
      <c r="E35">
        <f t="shared" si="0"/>
        <v>5663</v>
      </c>
      <c r="F35">
        <f>INT(0.00002735*(11400-E35)^2)</f>
        <v>900</v>
      </c>
    </row>
    <row r="36" spans="1:6">
      <c r="A36" s="1" t="s">
        <v>38</v>
      </c>
      <c r="B36" s="3">
        <v>2</v>
      </c>
      <c r="C36" s="3">
        <v>31</v>
      </c>
      <c r="D36" s="3">
        <v>10</v>
      </c>
      <c r="E36">
        <f t="shared" si="0"/>
        <v>9070</v>
      </c>
      <c r="F36">
        <f>INT(0.00000893*(19110-E36)^2)</f>
        <v>900</v>
      </c>
    </row>
    <row r="37" spans="1:6">
      <c r="A37" s="1" t="s">
        <v>39</v>
      </c>
      <c r="B37" s="3">
        <v>3</v>
      </c>
      <c r="C37" s="3">
        <v>1</v>
      </c>
      <c r="D37" s="3">
        <v>40</v>
      </c>
      <c r="E37">
        <f t="shared" si="0"/>
        <v>10900</v>
      </c>
      <c r="F37">
        <f>INT(0.00000576*(23400-E37)^2)</f>
        <v>900</v>
      </c>
    </row>
    <row r="38" spans="1:6">
      <c r="A38" s="1" t="s">
        <v>40</v>
      </c>
      <c r="B38" s="3">
        <v>4</v>
      </c>
      <c r="C38" s="3">
        <v>36</v>
      </c>
      <c r="D38" s="3">
        <v>55</v>
      </c>
      <c r="E38">
        <f t="shared" si="0"/>
        <v>16615</v>
      </c>
      <c r="F38">
        <f>INT(0.000002124*(37200-E38)^2)</f>
        <v>900</v>
      </c>
    </row>
    <row r="39" spans="1:6">
      <c r="A39" s="1" t="s">
        <v>41</v>
      </c>
      <c r="B39" s="1"/>
      <c r="C39" s="1"/>
      <c r="D39" s="1"/>
      <c r="E39" s="4">
        <v>1.98</v>
      </c>
      <c r="F39">
        <f>INT(32.29*(E39+11.534)^2-5000)</f>
        <v>897</v>
      </c>
    </row>
    <row r="40" spans="1:6">
      <c r="A40" s="1" t="s">
        <v>42</v>
      </c>
      <c r="B40" s="1"/>
      <c r="C40" s="1"/>
      <c r="D40" s="1"/>
      <c r="E40" s="4">
        <v>4.6500000000000004</v>
      </c>
      <c r="F40">
        <f>INT(3.042*(E40+39.39)^2-5000)</f>
        <v>900</v>
      </c>
    </row>
    <row r="41" spans="1:6">
      <c r="A41" s="1" t="s">
        <v>43</v>
      </c>
      <c r="B41" s="1"/>
      <c r="C41" s="1"/>
      <c r="D41" s="1"/>
      <c r="E41" s="4">
        <v>6.89</v>
      </c>
      <c r="F41">
        <f>INT(1.929*(E41+48.41)^2-5000)</f>
        <v>899</v>
      </c>
    </row>
    <row r="42" spans="1:6">
      <c r="A42" s="1" t="s">
        <v>44</v>
      </c>
      <c r="B42" s="1"/>
      <c r="C42" s="1"/>
      <c r="D42" s="1"/>
      <c r="E42" s="4">
        <v>14.49</v>
      </c>
      <c r="F42">
        <f>INT(0.4611*(E42+98.63)^2-5000)</f>
        <v>900</v>
      </c>
    </row>
    <row r="43" spans="1:6">
      <c r="A43" s="1" t="s">
        <v>45</v>
      </c>
      <c r="B43" s="1"/>
      <c r="C43" s="1"/>
      <c r="D43" s="1"/>
      <c r="E43" s="4">
        <v>16.29</v>
      </c>
      <c r="F43">
        <f>INT(0.042172*(E43+687.7)^2-20000)</f>
        <v>900</v>
      </c>
    </row>
    <row r="44" spans="1:6">
      <c r="A44" s="1" t="s">
        <v>46</v>
      </c>
      <c r="B44" s="1"/>
      <c r="C44" s="1"/>
      <c r="D44" s="1"/>
      <c r="E44" s="4">
        <v>51.23</v>
      </c>
      <c r="F44">
        <f>INT(0.004007*(E44+2232.6)^2-20000)</f>
        <v>900</v>
      </c>
    </row>
    <row r="45" spans="1:6">
      <c r="A45" s="1" t="s">
        <v>47</v>
      </c>
      <c r="B45" s="1"/>
      <c r="C45" s="1"/>
      <c r="D45" s="1"/>
      <c r="E45" s="4">
        <v>60.84</v>
      </c>
      <c r="F45">
        <f>INT(0.0028038*(E45+2669.4)^2-20000)</f>
        <v>900</v>
      </c>
    </row>
    <row r="46" spans="1:6">
      <c r="A46" s="1" t="s">
        <v>48</v>
      </c>
      <c r="B46" s="1"/>
      <c r="C46" s="1"/>
      <c r="D46" s="1"/>
      <c r="E46" s="4">
        <v>65.790000000000006</v>
      </c>
      <c r="F46">
        <f>INT(0.0023974*(E46+2886.8)^2-20000)</f>
        <v>900</v>
      </c>
    </row>
    <row r="47" spans="1:6">
      <c r="A47" s="1" t="s">
        <v>1</v>
      </c>
      <c r="B47" s="1"/>
      <c r="C47" s="1"/>
      <c r="D47" s="1"/>
      <c r="E47" s="4">
        <v>6522</v>
      </c>
      <c r="F47">
        <f>INT(0.00000097749*(E47+71170)^2-5000)</f>
        <v>900</v>
      </c>
    </row>
  </sheetData>
  <sheetProtection sheet="1" objects="1" scenarios="1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8"/>
  <sheetViews>
    <sheetView workbookViewId="0">
      <pane ySplit="1" topLeftCell="A2" activePane="bottomLeft" state="frozen"/>
      <selection pane="bottomLeft" activeCell="F22" sqref="F22"/>
    </sheetView>
  </sheetViews>
  <sheetFormatPr baseColWidth="10" defaultRowHeight="12.75"/>
  <cols>
    <col min="1" max="1" width="11.42578125" style="2"/>
    <col min="2" max="2" width="5.5703125" style="2" bestFit="1" customWidth="1"/>
    <col min="3" max="3" width="7.5703125" style="2" bestFit="1" customWidth="1"/>
    <col min="4" max="4" width="9" style="2" bestFit="1" customWidth="1"/>
  </cols>
  <sheetData>
    <row r="1" spans="1:6">
      <c r="B1" s="2" t="s">
        <v>50</v>
      </c>
      <c r="C1" s="2" t="s">
        <v>51</v>
      </c>
      <c r="D1" s="2" t="s">
        <v>52</v>
      </c>
      <c r="E1" t="s">
        <v>14</v>
      </c>
      <c r="F1" t="s">
        <v>15</v>
      </c>
    </row>
    <row r="2" spans="1:6">
      <c r="A2" s="1" t="s">
        <v>53</v>
      </c>
      <c r="B2" s="3"/>
      <c r="C2" s="3"/>
      <c r="D2" s="3">
        <v>6.14</v>
      </c>
      <c r="E2">
        <f>B2*3600+C2*60+D2</f>
        <v>6.14</v>
      </c>
      <c r="F2">
        <f>INT(95.8*(9.2-E2)^2)</f>
        <v>897</v>
      </c>
    </row>
    <row r="3" spans="1:6">
      <c r="A3" s="1" t="s">
        <v>54</v>
      </c>
      <c r="B3" s="3"/>
      <c r="C3" s="3"/>
      <c r="D3" s="3">
        <v>6.63</v>
      </c>
      <c r="E3">
        <f t="shared" ref="E3:E22" si="0">B3*3600+C3*60+D3</f>
        <v>6.63</v>
      </c>
      <c r="F3">
        <f>INT(78.9*(10-E3)^2)</f>
        <v>896</v>
      </c>
    </row>
    <row r="4" spans="1:6">
      <c r="A4" s="1" t="s">
        <v>55</v>
      </c>
      <c r="B4" s="3"/>
      <c r="C4" s="3"/>
      <c r="D4" s="3">
        <v>7.08</v>
      </c>
      <c r="E4">
        <f t="shared" si="0"/>
        <v>7.08</v>
      </c>
      <c r="F4">
        <f>INT(68.6*(10.7-E4)^2)</f>
        <v>898</v>
      </c>
    </row>
    <row r="5" spans="1:6">
      <c r="A5" s="1" t="s">
        <v>8</v>
      </c>
      <c r="B5" s="3"/>
      <c r="C5" s="3"/>
      <c r="D5" s="3">
        <v>22.63</v>
      </c>
      <c r="E5">
        <f t="shared" si="0"/>
        <v>22.63</v>
      </c>
      <c r="F5">
        <f>INT(5.04*(36-E5)^2)</f>
        <v>900</v>
      </c>
    </row>
    <row r="6" spans="1:6">
      <c r="A6" s="1" t="s">
        <v>9</v>
      </c>
      <c r="B6" s="3"/>
      <c r="C6" s="3"/>
      <c r="D6" s="3">
        <v>35.65</v>
      </c>
      <c r="E6">
        <f t="shared" si="0"/>
        <v>35.65</v>
      </c>
      <c r="F6">
        <f>INT(1.803*(58-E6)^2)</f>
        <v>900</v>
      </c>
    </row>
    <row r="7" spans="1:6">
      <c r="A7" s="1" t="s">
        <v>10</v>
      </c>
      <c r="B7" s="3"/>
      <c r="C7" s="3"/>
      <c r="D7" s="3">
        <v>50.31</v>
      </c>
      <c r="E7">
        <f t="shared" si="0"/>
        <v>50.31</v>
      </c>
      <c r="F7">
        <f>INT(0.981*(80.6-E7)^2)</f>
        <v>900</v>
      </c>
    </row>
    <row r="8" spans="1:6">
      <c r="A8" s="1" t="s">
        <v>56</v>
      </c>
      <c r="B8" s="3"/>
      <c r="C8" s="3">
        <v>1</v>
      </c>
      <c r="D8" s="3">
        <v>6.08</v>
      </c>
      <c r="E8">
        <f t="shared" si="0"/>
        <v>66.08</v>
      </c>
      <c r="F8">
        <f>INT(0.565*(106-E8)^2)</f>
        <v>900</v>
      </c>
    </row>
    <row r="9" spans="1:6">
      <c r="A9" s="1" t="s">
        <v>16</v>
      </c>
      <c r="B9" s="3"/>
      <c r="C9" s="3">
        <v>1</v>
      </c>
      <c r="D9" s="3">
        <v>22.96</v>
      </c>
      <c r="E9">
        <f t="shared" si="0"/>
        <v>82.960000000000008</v>
      </c>
      <c r="F9">
        <f>INT(0.39*(131-E9)^2)</f>
        <v>900</v>
      </c>
    </row>
    <row r="10" spans="1:6">
      <c r="A10" s="1" t="s">
        <v>17</v>
      </c>
      <c r="B10" s="3"/>
      <c r="C10" s="3">
        <v>1</v>
      </c>
      <c r="D10" s="3">
        <v>56.47</v>
      </c>
      <c r="E10">
        <f t="shared" si="0"/>
        <v>116.47</v>
      </c>
      <c r="F10">
        <f>INT(0.1974*(184-E10)^2)</f>
        <v>900</v>
      </c>
    </row>
    <row r="11" spans="1:6">
      <c r="A11" s="1" t="s">
        <v>18</v>
      </c>
      <c r="B11" s="3"/>
      <c r="C11" s="3">
        <v>2</v>
      </c>
      <c r="D11" s="3">
        <v>31.1</v>
      </c>
      <c r="E11">
        <f t="shared" si="0"/>
        <v>151.1</v>
      </c>
      <c r="F11">
        <f>INT(0.1139*(240-E11)^2)</f>
        <v>900</v>
      </c>
    </row>
    <row r="12" spans="1:6">
      <c r="A12" s="1" t="s">
        <v>19</v>
      </c>
      <c r="B12" s="3"/>
      <c r="C12" s="3">
        <v>3</v>
      </c>
      <c r="D12" s="3">
        <v>59.61</v>
      </c>
      <c r="E12">
        <f t="shared" si="0"/>
        <v>239.61</v>
      </c>
      <c r="F12">
        <f>INT(0.042*(386-E12)^2)</f>
        <v>900</v>
      </c>
    </row>
    <row r="13" spans="1:6">
      <c r="A13" s="1" t="s">
        <v>57</v>
      </c>
      <c r="B13" s="3"/>
      <c r="C13" s="3">
        <v>4</v>
      </c>
      <c r="D13" s="3">
        <v>18.82</v>
      </c>
      <c r="E13">
        <f t="shared" si="0"/>
        <v>258.82</v>
      </c>
      <c r="F13">
        <f>INT(0.0369*(415-E13)^2)</f>
        <v>900</v>
      </c>
    </row>
    <row r="14" spans="1:6">
      <c r="A14" s="1" t="s">
        <v>0</v>
      </c>
      <c r="B14" s="3"/>
      <c r="C14" s="3">
        <v>5</v>
      </c>
      <c r="D14" s="3">
        <v>28.44</v>
      </c>
      <c r="E14">
        <f t="shared" si="0"/>
        <v>328.44</v>
      </c>
      <c r="F14">
        <f>INT(0.0226*(528-E14)^2)</f>
        <v>900</v>
      </c>
    </row>
    <row r="15" spans="1:6">
      <c r="A15" s="1" t="s">
        <v>22</v>
      </c>
      <c r="B15" s="3"/>
      <c r="C15" s="3">
        <v>8</v>
      </c>
      <c r="D15" s="3">
        <v>31.14</v>
      </c>
      <c r="E15">
        <f t="shared" si="0"/>
        <v>511.14</v>
      </c>
      <c r="F15">
        <f>INT(0.008322*(840-E15)^2)</f>
        <v>900</v>
      </c>
    </row>
    <row r="16" spans="1:6">
      <c r="A16" s="1" t="s">
        <v>58</v>
      </c>
      <c r="B16" s="3"/>
      <c r="C16" s="3">
        <v>9</v>
      </c>
      <c r="D16" s="3">
        <v>13.69</v>
      </c>
      <c r="E16">
        <f t="shared" si="0"/>
        <v>553.69000000000005</v>
      </c>
      <c r="F16">
        <f>INT(0.00721*(907-E16)^2)</f>
        <v>900</v>
      </c>
    </row>
    <row r="17" spans="1:6">
      <c r="A17" s="1" t="s">
        <v>25</v>
      </c>
      <c r="B17" s="3"/>
      <c r="C17" s="3">
        <v>14</v>
      </c>
      <c r="D17" s="3">
        <v>42.91</v>
      </c>
      <c r="E17">
        <f t="shared" si="0"/>
        <v>882.91</v>
      </c>
      <c r="F17">
        <f>INT(0.0029*(1440-E17)^2)</f>
        <v>900</v>
      </c>
    </row>
    <row r="18" spans="1:6">
      <c r="A18" s="1" t="s">
        <v>59</v>
      </c>
      <c r="B18" s="3"/>
      <c r="C18" s="3"/>
      <c r="D18" s="3">
        <v>7.22</v>
      </c>
      <c r="E18">
        <f t="shared" si="0"/>
        <v>7.22</v>
      </c>
      <c r="F18">
        <f>INT(34.2*(12.35-E18)^2)</f>
        <v>900</v>
      </c>
    </row>
    <row r="19" spans="1:6">
      <c r="A19" s="1" t="s">
        <v>61</v>
      </c>
      <c r="B19" s="3"/>
      <c r="C19" s="3"/>
      <c r="D19" s="3">
        <v>7.88</v>
      </c>
      <c r="E19">
        <f t="shared" si="0"/>
        <v>7.88</v>
      </c>
      <c r="F19">
        <f>INT(30.07*(13.35-E19)^2)</f>
        <v>899</v>
      </c>
    </row>
    <row r="20" spans="1:6">
      <c r="A20" s="1" t="s">
        <v>60</v>
      </c>
      <c r="B20" s="3"/>
      <c r="C20" s="3"/>
      <c r="D20" s="3">
        <v>8.4700000000000006</v>
      </c>
      <c r="E20">
        <f t="shared" ref="E20" si="1">B20*3600+C20*60+D20</f>
        <v>8.4700000000000006</v>
      </c>
      <c r="F20">
        <f>INT(23.9*(14.6-E20)^2)</f>
        <v>898</v>
      </c>
    </row>
    <row r="21" spans="1:6">
      <c r="A21" s="1" t="s">
        <v>13</v>
      </c>
      <c r="B21" s="3"/>
      <c r="C21" s="3">
        <v>1</v>
      </c>
      <c r="D21" s="3">
        <v>30.29</v>
      </c>
      <c r="E21">
        <f t="shared" si="0"/>
        <v>90.289999999999992</v>
      </c>
      <c r="F21">
        <f>INT(0.312*(144-E21)^2)</f>
        <v>900</v>
      </c>
    </row>
    <row r="22" spans="1:6">
      <c r="A22" s="1" t="s">
        <v>2</v>
      </c>
      <c r="B22" s="3"/>
      <c r="C22" s="3">
        <v>3</v>
      </c>
      <c r="D22" s="3">
        <v>24.33</v>
      </c>
      <c r="E22">
        <f t="shared" si="0"/>
        <v>204.32999999999998</v>
      </c>
      <c r="F22">
        <f>INT(0.0489*(340-E22)^2)</f>
        <v>900</v>
      </c>
    </row>
    <row r="23" spans="1:6">
      <c r="A23" s="1" t="s">
        <v>41</v>
      </c>
      <c r="B23" s="1"/>
      <c r="C23" s="1"/>
      <c r="D23" s="1"/>
      <c r="E23" s="4">
        <v>1.98</v>
      </c>
      <c r="F23">
        <f>INT(32.29*(E23+11.534)^2-5000)</f>
        <v>897</v>
      </c>
    </row>
    <row r="24" spans="1:6">
      <c r="A24" s="1" t="s">
        <v>42</v>
      </c>
      <c r="B24" s="1"/>
      <c r="C24" s="1"/>
      <c r="D24" s="1"/>
      <c r="E24" s="4">
        <v>4.6500000000000004</v>
      </c>
      <c r="F24">
        <f>INT(3.042*(E24+39.39)^2-5000)</f>
        <v>900</v>
      </c>
    </row>
    <row r="25" spans="1:6">
      <c r="A25" s="1" t="s">
        <v>43</v>
      </c>
      <c r="B25" s="1"/>
      <c r="C25" s="1"/>
      <c r="D25" s="1"/>
      <c r="E25" s="4">
        <v>6.89</v>
      </c>
      <c r="F25">
        <f>INT(1.929*(E25+48.41)^2-5000)</f>
        <v>899</v>
      </c>
    </row>
    <row r="26" spans="1:6">
      <c r="A26" s="1" t="s">
        <v>44</v>
      </c>
      <c r="B26" s="1"/>
      <c r="C26" s="1"/>
      <c r="D26" s="1"/>
      <c r="E26" s="4">
        <v>14.49</v>
      </c>
      <c r="F26">
        <f>INT(0.4611*(E26+98.63)^2-5000)</f>
        <v>900</v>
      </c>
    </row>
    <row r="27" spans="1:6">
      <c r="A27" s="1" t="s">
        <v>45</v>
      </c>
      <c r="B27" s="1"/>
      <c r="C27" s="1"/>
      <c r="D27" s="1"/>
      <c r="E27" s="4">
        <v>16.29</v>
      </c>
      <c r="F27">
        <f>INT(0.042172*(E27+687.7)^2-20000)</f>
        <v>900</v>
      </c>
    </row>
    <row r="28" spans="1:6">
      <c r="A28" s="1" t="s">
        <v>3</v>
      </c>
      <c r="B28" s="1"/>
      <c r="C28" s="1"/>
      <c r="D28" s="1"/>
      <c r="E28" s="4">
        <v>4856</v>
      </c>
      <c r="F28">
        <f>INT(0.000001752*(E28+53175)^2-5000)</f>
        <v>900</v>
      </c>
    </row>
  </sheetData>
  <sheetProtection sheet="1" objects="1" scenarios="1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6"/>
  <sheetViews>
    <sheetView workbookViewId="0">
      <pane ySplit="1" topLeftCell="A17" activePane="bottomLeft" state="frozen"/>
      <selection pane="bottomLeft" activeCell="F30" sqref="F30"/>
    </sheetView>
  </sheetViews>
  <sheetFormatPr baseColWidth="10" defaultRowHeight="12.75"/>
  <cols>
    <col min="1" max="1" width="11.42578125" style="2"/>
    <col min="2" max="2" width="5.5703125" style="2" bestFit="1" customWidth="1"/>
    <col min="3" max="3" width="7.5703125" style="2" bestFit="1" customWidth="1"/>
    <col min="4" max="4" width="9" style="2" bestFit="1" customWidth="1"/>
  </cols>
  <sheetData>
    <row r="1" spans="1:6">
      <c r="B1" s="2" t="s">
        <v>50</v>
      </c>
      <c r="C1" s="2" t="s">
        <v>51</v>
      </c>
      <c r="D1" s="2" t="s">
        <v>52</v>
      </c>
      <c r="E1" t="s">
        <v>14</v>
      </c>
      <c r="F1" t="s">
        <v>15</v>
      </c>
    </row>
    <row r="2" spans="1:6">
      <c r="A2" s="1" t="s">
        <v>6</v>
      </c>
      <c r="B2" s="3"/>
      <c r="C2" s="3"/>
      <c r="D2" s="3">
        <v>12.47</v>
      </c>
      <c r="E2">
        <f>B2*3600+C2*60+D2</f>
        <v>12.47</v>
      </c>
      <c r="F2">
        <f>INT(9.92*(22-E2)^2)</f>
        <v>900</v>
      </c>
    </row>
    <row r="3" spans="1:6">
      <c r="A3" s="1" t="s">
        <v>8</v>
      </c>
      <c r="B3" s="3"/>
      <c r="C3" s="3"/>
      <c r="D3" s="3">
        <v>25.46</v>
      </c>
      <c r="E3">
        <f t="shared" ref="E3:E37" si="0">B3*3600+C3*60+D3</f>
        <v>25.46</v>
      </c>
      <c r="F3">
        <f>INT(2.242*(45.5-E3)^2)</f>
        <v>900</v>
      </c>
    </row>
    <row r="4" spans="1:6">
      <c r="A4" s="1" t="s">
        <v>9</v>
      </c>
      <c r="B4" s="3"/>
      <c r="C4" s="3"/>
      <c r="D4" s="3">
        <v>41.14</v>
      </c>
      <c r="E4">
        <f t="shared" si="0"/>
        <v>41.14</v>
      </c>
      <c r="F4">
        <f>INT(0.7*(77-E4)^2)</f>
        <v>900</v>
      </c>
    </row>
    <row r="5" spans="1:6">
      <c r="A5" s="1" t="s">
        <v>10</v>
      </c>
      <c r="B5" s="3"/>
      <c r="C5" s="3"/>
      <c r="D5" s="3">
        <v>58.16</v>
      </c>
      <c r="E5">
        <f t="shared" si="0"/>
        <v>58.16</v>
      </c>
      <c r="F5">
        <f>INT(0.335*(110-E5)^2)</f>
        <v>900</v>
      </c>
    </row>
    <row r="6" spans="1:6">
      <c r="A6" s="1" t="s">
        <v>16</v>
      </c>
      <c r="B6" s="3"/>
      <c r="C6" s="3">
        <v>1</v>
      </c>
      <c r="D6" s="3">
        <v>37.1</v>
      </c>
      <c r="E6">
        <f t="shared" si="0"/>
        <v>97.1</v>
      </c>
      <c r="F6">
        <f>INT(0.1192*(184-E6)^2)</f>
        <v>900</v>
      </c>
    </row>
    <row r="7" spans="1:6">
      <c r="A7" s="1" t="s">
        <v>17</v>
      </c>
      <c r="B7" s="3"/>
      <c r="C7" s="3">
        <v>2</v>
      </c>
      <c r="D7" s="3">
        <v>15.62</v>
      </c>
      <c r="E7">
        <f t="shared" si="0"/>
        <v>135.62</v>
      </c>
      <c r="F7">
        <f>INT(0.0688*(250-E7)^2)</f>
        <v>900</v>
      </c>
    </row>
    <row r="8" spans="1:6">
      <c r="A8" s="1" t="s">
        <v>18</v>
      </c>
      <c r="B8" s="3"/>
      <c r="C8" s="3">
        <v>2</v>
      </c>
      <c r="D8" s="3">
        <v>56.5</v>
      </c>
      <c r="E8">
        <f t="shared" si="0"/>
        <v>176.5</v>
      </c>
      <c r="F8">
        <f>INT(0.0382*(330-E8)^2)</f>
        <v>900</v>
      </c>
    </row>
    <row r="9" spans="1:6">
      <c r="A9" s="1" t="s">
        <v>19</v>
      </c>
      <c r="B9" s="3"/>
      <c r="C9" s="3">
        <v>4</v>
      </c>
      <c r="D9" s="3">
        <v>40.83</v>
      </c>
      <c r="E9">
        <f t="shared" si="0"/>
        <v>280.83</v>
      </c>
      <c r="F9">
        <f>INT(0.0134*(540-E9)^2)</f>
        <v>900</v>
      </c>
    </row>
    <row r="10" spans="1:6">
      <c r="A10" s="1" t="s">
        <v>20</v>
      </c>
      <c r="B10" s="3"/>
      <c r="C10" s="3">
        <v>5</v>
      </c>
      <c r="D10" s="3">
        <v>2.0499999999999998</v>
      </c>
      <c r="E10">
        <f t="shared" si="0"/>
        <v>302.05</v>
      </c>
      <c r="F10">
        <f>INT(0.01165*(580-E10)^2)</f>
        <v>900</v>
      </c>
    </row>
    <row r="11" spans="1:6">
      <c r="A11" s="1" t="s">
        <v>0</v>
      </c>
      <c r="B11" s="3"/>
      <c r="C11" s="3">
        <v>6</v>
      </c>
      <c r="D11" s="3">
        <v>25.28</v>
      </c>
      <c r="E11">
        <f t="shared" si="0"/>
        <v>385.28</v>
      </c>
      <c r="F11">
        <f>INT(0.006766*(750-E11)^2)</f>
        <v>900</v>
      </c>
    </row>
    <row r="12" spans="1:6">
      <c r="A12" s="1" t="s">
        <v>22</v>
      </c>
      <c r="B12" s="3"/>
      <c r="C12" s="3">
        <v>10</v>
      </c>
      <c r="D12" s="3">
        <v>4.62</v>
      </c>
      <c r="E12">
        <f t="shared" si="0"/>
        <v>604.62</v>
      </c>
      <c r="F12">
        <f>INT(0.002539*(1200-E12)^2)</f>
        <v>900</v>
      </c>
    </row>
    <row r="13" spans="1:6">
      <c r="A13" s="1" t="s">
        <v>24</v>
      </c>
      <c r="B13" s="3"/>
      <c r="C13" s="3">
        <v>10</v>
      </c>
      <c r="D13" s="3">
        <v>50.35</v>
      </c>
      <c r="E13">
        <f t="shared" si="0"/>
        <v>650.35</v>
      </c>
      <c r="F13">
        <f>INT(0.002157*(1296.3-E13)^2)</f>
        <v>900</v>
      </c>
    </row>
    <row r="14" spans="1:6">
      <c r="A14" s="1" t="s">
        <v>25</v>
      </c>
      <c r="B14" s="3"/>
      <c r="C14" s="3">
        <v>17</v>
      </c>
      <c r="D14" s="3">
        <v>24.6</v>
      </c>
      <c r="E14">
        <f t="shared" si="0"/>
        <v>1044.5999999999999</v>
      </c>
      <c r="F14">
        <f>INT(0.000808*(2100-E14)^2)</f>
        <v>900</v>
      </c>
    </row>
    <row r="15" spans="1:6">
      <c r="A15" s="1" t="s">
        <v>4</v>
      </c>
      <c r="B15" s="3"/>
      <c r="C15" s="3">
        <v>36</v>
      </c>
      <c r="D15" s="3">
        <v>47.18</v>
      </c>
      <c r="E15">
        <f>B15*3600+C15*60+D15</f>
        <v>2207.1799999999998</v>
      </c>
      <c r="F15">
        <f>INT(0.0001712*(4500-E15)^2)</f>
        <v>900</v>
      </c>
    </row>
    <row r="16" spans="1:6">
      <c r="A16" s="1" t="s">
        <v>26</v>
      </c>
      <c r="B16" s="3"/>
      <c r="C16" s="3">
        <v>37</v>
      </c>
      <c r="D16" s="3">
        <v>7</v>
      </c>
      <c r="E16">
        <f t="shared" si="0"/>
        <v>2227</v>
      </c>
      <c r="F16">
        <f>INT(0.0001742*(4500-E16)^2)</f>
        <v>900</v>
      </c>
    </row>
    <row r="17" spans="1:6">
      <c r="A17" s="1" t="s">
        <v>27</v>
      </c>
      <c r="B17" s="3"/>
      <c r="C17" s="3">
        <v>56</v>
      </c>
      <c r="D17" s="3">
        <v>38</v>
      </c>
      <c r="E17">
        <f t="shared" si="0"/>
        <v>3398</v>
      </c>
      <c r="F17">
        <f>INT(0.0000732*(6905-E17)^2)</f>
        <v>900</v>
      </c>
    </row>
    <row r="18" spans="1:6">
      <c r="A18" s="1" t="s">
        <v>28</v>
      </c>
      <c r="B18" s="3">
        <v>1</v>
      </c>
      <c r="C18" s="3">
        <v>0</v>
      </c>
      <c r="D18" s="3">
        <v>58</v>
      </c>
      <c r="E18">
        <f t="shared" si="0"/>
        <v>3658</v>
      </c>
      <c r="F18">
        <f>INT(0.000063*(7438-E18)^2)</f>
        <v>900</v>
      </c>
    </row>
    <row r="19" spans="1:6">
      <c r="A19" s="1" t="s">
        <v>29</v>
      </c>
      <c r="B19" s="3">
        <v>1</v>
      </c>
      <c r="C19" s="3">
        <v>16</v>
      </c>
      <c r="D19" s="3">
        <v>29</v>
      </c>
      <c r="E19">
        <f t="shared" si="0"/>
        <v>4589</v>
      </c>
      <c r="F19">
        <f>INT(0.0000396*(9357-E19)^2)</f>
        <v>900</v>
      </c>
    </row>
    <row r="20" spans="1:6">
      <c r="A20" s="1" t="s">
        <v>30</v>
      </c>
      <c r="B20" s="3">
        <v>1</v>
      </c>
      <c r="C20" s="3">
        <v>20</v>
      </c>
      <c r="D20" s="3">
        <v>50</v>
      </c>
      <c r="E20">
        <f t="shared" si="0"/>
        <v>4850</v>
      </c>
      <c r="F20">
        <f>INT(0.0000353*(9900-E20)^2)</f>
        <v>900</v>
      </c>
    </row>
    <row r="21" spans="1:6">
      <c r="A21" s="1" t="s">
        <v>31</v>
      </c>
      <c r="B21" s="3">
        <v>1</v>
      </c>
      <c r="C21" s="3">
        <v>37</v>
      </c>
      <c r="D21" s="3">
        <v>41</v>
      </c>
      <c r="E21">
        <f t="shared" si="0"/>
        <v>5861</v>
      </c>
      <c r="F21">
        <f>INT(0.0000228*(12144-E21)^2)</f>
        <v>900</v>
      </c>
    </row>
    <row r="22" spans="1:6">
      <c r="A22" s="1" t="s">
        <v>32</v>
      </c>
      <c r="B22" s="3">
        <v>1</v>
      </c>
      <c r="C22" s="3">
        <v>59</v>
      </c>
      <c r="D22" s="3">
        <v>38</v>
      </c>
      <c r="E22">
        <f t="shared" si="0"/>
        <v>7178</v>
      </c>
      <c r="F22">
        <f>INT(0.00001426*(15123-E22)^2)</f>
        <v>900</v>
      </c>
    </row>
    <row r="23" spans="1:6">
      <c r="A23" s="1" t="s">
        <v>5</v>
      </c>
      <c r="B23" s="3">
        <v>2</v>
      </c>
      <c r="C23" s="3">
        <v>55</v>
      </c>
      <c r="D23" s="3">
        <v>1</v>
      </c>
      <c r="E23">
        <f t="shared" si="0"/>
        <v>10501</v>
      </c>
      <c r="F23">
        <f>INT(0.00000595*(22800-E23)^2)</f>
        <v>900</v>
      </c>
    </row>
    <row r="24" spans="1:6">
      <c r="A24" s="1" t="s">
        <v>33</v>
      </c>
      <c r="B24" s="3">
        <v>8</v>
      </c>
      <c r="C24" s="3">
        <v>5</v>
      </c>
      <c r="D24" s="3">
        <v>10</v>
      </c>
      <c r="E24">
        <f t="shared" si="0"/>
        <v>29110</v>
      </c>
      <c r="F24">
        <f>INT(0.000000874*(61200-E24)^2)</f>
        <v>900</v>
      </c>
    </row>
    <row r="25" spans="1:6">
      <c r="A25" s="1" t="s">
        <v>49</v>
      </c>
      <c r="B25" s="3"/>
      <c r="C25" s="3"/>
      <c r="D25" s="3">
        <v>14.96</v>
      </c>
      <c r="E25">
        <f t="shared" ref="E25:E31" si="1">B25*3600+C25*60+D25</f>
        <v>14.96</v>
      </c>
      <c r="F25">
        <f>INT(3.98*(30-E25)^2)</f>
        <v>900</v>
      </c>
    </row>
    <row r="26" spans="1:6">
      <c r="A26" s="1" t="s">
        <v>11</v>
      </c>
      <c r="B26" s="3"/>
      <c r="C26" s="3">
        <v>1</v>
      </c>
      <c r="D26" s="3">
        <v>4.3099999999999996</v>
      </c>
      <c r="E26">
        <f t="shared" si="1"/>
        <v>64.31</v>
      </c>
      <c r="F26">
        <f>INT(0.208567*(130-E26)^2)</f>
        <v>900</v>
      </c>
    </row>
    <row r="27" spans="1:6">
      <c r="A27" s="1" t="s">
        <v>21</v>
      </c>
      <c r="B27" s="3"/>
      <c r="C27" s="3">
        <v>7</v>
      </c>
      <c r="D27" s="3">
        <v>12.78</v>
      </c>
      <c r="E27">
        <f t="shared" si="1"/>
        <v>432.78</v>
      </c>
      <c r="F27">
        <f>INT(0.0045*(880-E27)^2)</f>
        <v>900</v>
      </c>
    </row>
    <row r="28" spans="1:6">
      <c r="A28" s="1" t="s">
        <v>23</v>
      </c>
      <c r="B28" s="3"/>
      <c r="C28" s="3">
        <v>11</v>
      </c>
      <c r="D28" s="3">
        <v>25.21</v>
      </c>
      <c r="E28">
        <f t="shared" si="1"/>
        <v>685.21</v>
      </c>
      <c r="F28">
        <f>INT(0.001323*(1510-E28)^2)</f>
        <v>900</v>
      </c>
    </row>
    <row r="29" spans="1:6">
      <c r="A29" s="1" t="s">
        <v>12</v>
      </c>
      <c r="B29" s="3"/>
      <c r="C29" s="3"/>
      <c r="D29" s="3">
        <v>49.93</v>
      </c>
      <c r="E29">
        <f t="shared" si="1"/>
        <v>49.93</v>
      </c>
      <c r="F29">
        <f>INT(0.3895*(98-E29)^2)</f>
        <v>900</v>
      </c>
    </row>
    <row r="30" spans="1:6">
      <c r="A30" s="1" t="s">
        <v>13</v>
      </c>
      <c r="B30" s="3"/>
      <c r="C30" s="3">
        <v>1</v>
      </c>
      <c r="D30" s="3">
        <v>45.6</v>
      </c>
      <c r="E30">
        <f t="shared" si="1"/>
        <v>105.6</v>
      </c>
      <c r="F30">
        <f>INT(0.0795*(212-E30)^2)</f>
        <v>900</v>
      </c>
    </row>
    <row r="31" spans="1:6">
      <c r="A31" s="1" t="s">
        <v>2</v>
      </c>
      <c r="B31" s="3"/>
      <c r="C31" s="3">
        <v>3</v>
      </c>
      <c r="D31" s="3">
        <v>59.96</v>
      </c>
      <c r="E31">
        <f t="shared" si="1"/>
        <v>239.96</v>
      </c>
      <c r="F31">
        <f>INT(0.01562*(480-E31)^2)</f>
        <v>900</v>
      </c>
    </row>
    <row r="32" spans="1:6">
      <c r="A32" s="1" t="s">
        <v>34</v>
      </c>
      <c r="B32" s="3"/>
      <c r="C32" s="3">
        <v>14</v>
      </c>
      <c r="D32" s="3">
        <v>20</v>
      </c>
      <c r="E32">
        <f t="shared" si="0"/>
        <v>860</v>
      </c>
      <c r="F32">
        <f>INT(0.000881*(1871-E32)^2)</f>
        <v>900</v>
      </c>
    </row>
    <row r="33" spans="1:6">
      <c r="A33" s="1" t="s">
        <v>35</v>
      </c>
      <c r="B33" s="3"/>
      <c r="C33" s="3">
        <v>24</v>
      </c>
      <c r="D33" s="3">
        <v>34</v>
      </c>
      <c r="E33">
        <f t="shared" si="0"/>
        <v>1474</v>
      </c>
      <c r="F33">
        <f>INT(0.0003246*(3140-E33)^2)</f>
        <v>900</v>
      </c>
    </row>
    <row r="34" spans="1:6">
      <c r="A34" s="1" t="s">
        <v>36</v>
      </c>
      <c r="B34" s="3"/>
      <c r="C34" s="3">
        <v>50</v>
      </c>
      <c r="D34" s="3">
        <v>37</v>
      </c>
      <c r="E34">
        <f t="shared" si="0"/>
        <v>3037</v>
      </c>
      <c r="F34">
        <f>INT(0.0000779*(6437-E34)^2)</f>
        <v>900</v>
      </c>
    </row>
    <row r="35" spans="1:6">
      <c r="A35" s="1" t="s">
        <v>37</v>
      </c>
      <c r="B35" s="3">
        <v>1</v>
      </c>
      <c r="C35" s="3">
        <v>44</v>
      </c>
      <c r="D35" s="3">
        <v>22</v>
      </c>
      <c r="E35">
        <f t="shared" si="0"/>
        <v>6262</v>
      </c>
      <c r="F35">
        <f>INT(0.0000187*(13200-E35)^2)</f>
        <v>900</v>
      </c>
    </row>
    <row r="36" spans="1:6">
      <c r="A36" s="1" t="s">
        <v>38</v>
      </c>
      <c r="B36" s="3">
        <v>2</v>
      </c>
      <c r="C36" s="3">
        <v>48</v>
      </c>
      <c r="D36" s="3">
        <v>44</v>
      </c>
      <c r="E36">
        <f t="shared" si="0"/>
        <v>10124</v>
      </c>
      <c r="F36">
        <f>INT(0.0000069*(21545-E36)^2)</f>
        <v>900</v>
      </c>
    </row>
    <row r="37" spans="1:6">
      <c r="A37" s="1" t="s">
        <v>40</v>
      </c>
      <c r="B37" s="3">
        <v>5</v>
      </c>
      <c r="C37" s="3">
        <v>8</v>
      </c>
      <c r="D37" s="3">
        <v>43</v>
      </c>
      <c r="E37">
        <f t="shared" si="0"/>
        <v>18523</v>
      </c>
      <c r="F37">
        <f>INT(0.00000196*(39952-E37)^2)</f>
        <v>900</v>
      </c>
    </row>
    <row r="38" spans="1:6">
      <c r="A38" s="1" t="s">
        <v>41</v>
      </c>
      <c r="B38" s="1"/>
      <c r="C38" s="1"/>
      <c r="D38" s="1"/>
      <c r="E38" s="4">
        <v>1.67</v>
      </c>
      <c r="F38">
        <f>INT(39.34*(E38+10.574)^2-5000)</f>
        <v>897</v>
      </c>
    </row>
    <row r="39" spans="1:6">
      <c r="A39" s="1" t="s">
        <v>42</v>
      </c>
      <c r="B39" s="1"/>
      <c r="C39" s="1"/>
      <c r="D39" s="1"/>
      <c r="E39" s="4">
        <v>3.8</v>
      </c>
      <c r="F39">
        <f>INT(3.953*(E39+34.83)^2-5000)</f>
        <v>898</v>
      </c>
    </row>
    <row r="40" spans="1:6">
      <c r="A40" s="1" t="s">
        <v>43</v>
      </c>
      <c r="B40" s="1"/>
      <c r="C40" s="1"/>
      <c r="D40" s="1"/>
      <c r="E40" s="4">
        <v>5.54</v>
      </c>
      <c r="F40">
        <f>INT(1.966*(E40+49.24)^2-5000)</f>
        <v>899</v>
      </c>
    </row>
    <row r="41" spans="1:6">
      <c r="A41" s="1" t="s">
        <v>44</v>
      </c>
      <c r="B41" s="1"/>
      <c r="C41" s="1"/>
      <c r="D41" s="1"/>
      <c r="E41" s="4">
        <v>11.86</v>
      </c>
      <c r="F41">
        <f>INT(0.4282*(E41+105.53)^2-5000)</f>
        <v>900</v>
      </c>
    </row>
    <row r="42" spans="1:6">
      <c r="A42" s="1" t="s">
        <v>45</v>
      </c>
      <c r="B42" s="1"/>
      <c r="C42" s="1"/>
      <c r="D42" s="1"/>
      <c r="E42" s="4">
        <v>15.07</v>
      </c>
      <c r="F42">
        <f>INT(0.0462*(E42+657.53)^2-20000)</f>
        <v>900</v>
      </c>
    </row>
    <row r="43" spans="1:6">
      <c r="A43" s="1" t="s">
        <v>46</v>
      </c>
      <c r="B43" s="1"/>
      <c r="C43" s="1"/>
      <c r="D43" s="1"/>
      <c r="E43" s="4">
        <v>50.66</v>
      </c>
      <c r="F43">
        <f>INT(0.0040277*(E43+2227.3)^2-20000)</f>
        <v>900</v>
      </c>
    </row>
    <row r="44" spans="1:6">
      <c r="A44" s="1" t="s">
        <v>47</v>
      </c>
      <c r="B44" s="1"/>
      <c r="C44" s="1"/>
      <c r="D44" s="1"/>
      <c r="E44" s="4">
        <v>58</v>
      </c>
      <c r="F44">
        <f>INT(0.0030965*(E44+2540)^2-20000)</f>
        <v>900</v>
      </c>
    </row>
    <row r="45" spans="1:6">
      <c r="A45" s="1" t="s">
        <v>48</v>
      </c>
      <c r="B45" s="1"/>
      <c r="C45" s="1"/>
      <c r="D45" s="1"/>
      <c r="E45" s="4">
        <v>50.35</v>
      </c>
      <c r="F45">
        <f>INT(0.004073*(E45+2214.9)^2-20000)</f>
        <v>900</v>
      </c>
    </row>
    <row r="46" spans="1:6">
      <c r="A46" s="1" t="s">
        <v>3</v>
      </c>
      <c r="B46" s="1"/>
      <c r="C46" s="1"/>
      <c r="D46" s="1"/>
      <c r="E46" s="4">
        <v>5099</v>
      </c>
      <c r="F46">
        <f>INT(0.000001581*(E46+55990)^2-5000)</f>
        <v>900</v>
      </c>
    </row>
  </sheetData>
  <sheetProtection sheet="1" objects="1" scenarios="1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8"/>
  <sheetViews>
    <sheetView workbookViewId="0">
      <pane ySplit="1" topLeftCell="A2" activePane="bottomLeft" state="frozen"/>
      <selection pane="bottomLeft" activeCell="A14" sqref="A14"/>
    </sheetView>
  </sheetViews>
  <sheetFormatPr baseColWidth="10" defaultRowHeight="12.75"/>
  <cols>
    <col min="1" max="1" width="11.42578125" style="2"/>
    <col min="2" max="2" width="5.5703125" style="2" bestFit="1" customWidth="1"/>
    <col min="3" max="3" width="7.5703125" style="2" bestFit="1" customWidth="1"/>
    <col min="4" max="4" width="9" style="2" bestFit="1" customWidth="1"/>
  </cols>
  <sheetData>
    <row r="1" spans="1:6">
      <c r="B1" s="2" t="s">
        <v>50</v>
      </c>
      <c r="C1" s="2" t="s">
        <v>51</v>
      </c>
      <c r="D1" s="2" t="s">
        <v>52</v>
      </c>
      <c r="E1" t="s">
        <v>14</v>
      </c>
      <c r="F1" t="s">
        <v>15</v>
      </c>
    </row>
    <row r="2" spans="1:6">
      <c r="A2" s="1" t="s">
        <v>53</v>
      </c>
      <c r="B2" s="3"/>
      <c r="C2" s="3"/>
      <c r="D2" s="3">
        <v>6.88</v>
      </c>
      <c r="E2">
        <f>B2*3600+C2*60+D2</f>
        <v>6.88</v>
      </c>
      <c r="F2">
        <f>INT(33.03*(12.1-E2)^2)</f>
        <v>900</v>
      </c>
    </row>
    <row r="3" spans="1:6">
      <c r="A3" s="1" t="s">
        <v>54</v>
      </c>
      <c r="B3" s="3"/>
      <c r="C3" s="3"/>
      <c r="D3" s="3">
        <v>7.45</v>
      </c>
      <c r="E3">
        <f t="shared" ref="E3:E22" si="0">B3*3600+C3*60+D3</f>
        <v>7.45</v>
      </c>
      <c r="F3">
        <f>INT(27.68*(13.15-E3)^2)</f>
        <v>899</v>
      </c>
    </row>
    <row r="4" spans="1:6">
      <c r="A4" s="1" t="s">
        <v>55</v>
      </c>
      <c r="B4" s="3"/>
      <c r="C4" s="3"/>
      <c r="D4" s="3">
        <v>7.99</v>
      </c>
      <c r="E4">
        <f t="shared" si="0"/>
        <v>7.99</v>
      </c>
      <c r="F4">
        <f>INT(24.9*(14-E4)^2)</f>
        <v>899</v>
      </c>
    </row>
    <row r="5" spans="1:6">
      <c r="A5" s="1" t="s">
        <v>8</v>
      </c>
      <c r="B5" s="3"/>
      <c r="C5" s="3"/>
      <c r="D5" s="3">
        <v>26.08</v>
      </c>
      <c r="E5">
        <f t="shared" si="0"/>
        <v>26.08</v>
      </c>
      <c r="F5">
        <f>INT(1.962*(47.5-E5)^2)</f>
        <v>900</v>
      </c>
    </row>
    <row r="6" spans="1:6">
      <c r="A6" s="1" t="s">
        <v>9</v>
      </c>
      <c r="B6" s="3"/>
      <c r="C6" s="3"/>
      <c r="D6" s="3">
        <v>42.05</v>
      </c>
      <c r="E6">
        <f t="shared" si="0"/>
        <v>42.05</v>
      </c>
      <c r="F6">
        <f>INT(0.6595*(79-E6)^2)</f>
        <v>900</v>
      </c>
    </row>
    <row r="7" spans="1:6">
      <c r="A7" s="1" t="s">
        <v>10</v>
      </c>
      <c r="B7" s="3"/>
      <c r="C7" s="3"/>
      <c r="D7" s="3">
        <v>59.16</v>
      </c>
      <c r="E7">
        <f t="shared" si="0"/>
        <v>59.16</v>
      </c>
      <c r="F7">
        <f>INT(0.3224*(112-E7)^2)</f>
        <v>900</v>
      </c>
    </row>
    <row r="8" spans="1:6">
      <c r="A8" s="1" t="s">
        <v>56</v>
      </c>
      <c r="B8" s="3"/>
      <c r="C8" s="3">
        <v>1</v>
      </c>
      <c r="D8" s="3">
        <v>18.03</v>
      </c>
      <c r="E8">
        <f t="shared" si="0"/>
        <v>78.03</v>
      </c>
      <c r="F8">
        <f>INT(0.1714*(150.5-E8)^2)</f>
        <v>900</v>
      </c>
    </row>
    <row r="9" spans="1:6">
      <c r="A9" s="1" t="s">
        <v>16</v>
      </c>
      <c r="B9" s="3"/>
      <c r="C9" s="3">
        <v>1</v>
      </c>
      <c r="D9" s="3">
        <v>38.33</v>
      </c>
      <c r="E9">
        <f t="shared" si="0"/>
        <v>98.33</v>
      </c>
      <c r="F9">
        <f>INT(0.1063*(190.35-E9)^2)</f>
        <v>900</v>
      </c>
    </row>
    <row r="10" spans="1:6">
      <c r="A10" s="1" t="s">
        <v>17</v>
      </c>
      <c r="B10" s="3"/>
      <c r="C10" s="3">
        <v>2</v>
      </c>
      <c r="D10" s="3">
        <v>18.559999999999999</v>
      </c>
      <c r="E10">
        <f t="shared" si="0"/>
        <v>138.56</v>
      </c>
      <c r="F10">
        <f>INT(0.0572*(264-E10)^2)</f>
        <v>900</v>
      </c>
    </row>
    <row r="11" spans="1:6">
      <c r="A11" s="1" t="s">
        <v>18</v>
      </c>
      <c r="B11" s="3"/>
      <c r="C11" s="3">
        <v>2</v>
      </c>
      <c r="D11" s="3">
        <v>59.42</v>
      </c>
      <c r="E11">
        <f t="shared" si="0"/>
        <v>179.42000000000002</v>
      </c>
      <c r="F11">
        <f>INT(0.03473*(340.4-E11)^2)</f>
        <v>900</v>
      </c>
    </row>
    <row r="12" spans="1:6">
      <c r="A12" s="1" t="s">
        <v>19</v>
      </c>
      <c r="B12" s="3"/>
      <c r="C12" s="3">
        <v>4</v>
      </c>
      <c r="D12" s="3">
        <v>43.22</v>
      </c>
      <c r="E12">
        <f t="shared" si="0"/>
        <v>283.22000000000003</v>
      </c>
      <c r="F12">
        <f>INT(0.01365*(540-E12)^2)</f>
        <v>900</v>
      </c>
    </row>
    <row r="13" spans="1:6">
      <c r="A13" s="1" t="s">
        <v>57</v>
      </c>
      <c r="B13" s="3"/>
      <c r="C13" s="3">
        <v>5</v>
      </c>
      <c r="D13" s="3">
        <v>6.23</v>
      </c>
      <c r="E13">
        <f t="shared" si="0"/>
        <v>306.23</v>
      </c>
      <c r="F13">
        <f>INT(0.01154*(585.5-E13)^2)</f>
        <v>900</v>
      </c>
    </row>
    <row r="14" spans="1:6">
      <c r="A14" s="1" t="s">
        <v>0</v>
      </c>
      <c r="B14" s="3"/>
      <c r="C14" s="3">
        <v>6</v>
      </c>
      <c r="D14" s="3">
        <v>29.72</v>
      </c>
      <c r="E14">
        <f t="shared" si="0"/>
        <v>389.72</v>
      </c>
      <c r="F14">
        <f>INT(0.00685*(752.2-E14)^2)</f>
        <v>900</v>
      </c>
    </row>
    <row r="15" spans="1:6">
      <c r="A15" s="1" t="s">
        <v>22</v>
      </c>
      <c r="B15" s="3"/>
      <c r="C15" s="3">
        <v>10</v>
      </c>
      <c r="D15" s="3">
        <v>10.51</v>
      </c>
      <c r="E15">
        <f t="shared" si="0"/>
        <v>610.51</v>
      </c>
      <c r="F15">
        <f>INT(0.00259*(1200-E15)^2)</f>
        <v>900</v>
      </c>
    </row>
    <row r="16" spans="1:6">
      <c r="A16" s="1" t="s">
        <v>58</v>
      </c>
      <c r="B16" s="3"/>
      <c r="C16" s="3">
        <v>10</v>
      </c>
      <c r="D16" s="3">
        <v>56.98</v>
      </c>
      <c r="E16">
        <f t="shared" si="0"/>
        <v>656.98</v>
      </c>
      <c r="F16">
        <f>INT(0.002202*(1296.3-E16)^2)</f>
        <v>900</v>
      </c>
    </row>
    <row r="17" spans="1:6">
      <c r="A17" s="1" t="s">
        <v>25</v>
      </c>
      <c r="B17" s="3"/>
      <c r="C17" s="3">
        <v>17</v>
      </c>
      <c r="D17" s="3">
        <v>35.53</v>
      </c>
      <c r="E17">
        <f t="shared" si="0"/>
        <v>1055.53</v>
      </c>
      <c r="F17">
        <f>INT(0.000825*(2100-E17)^2)</f>
        <v>900</v>
      </c>
    </row>
    <row r="18" spans="1:6">
      <c r="A18" s="1" t="s">
        <v>59</v>
      </c>
      <c r="B18" s="3"/>
      <c r="C18" s="3"/>
      <c r="D18" s="3">
        <v>7.85</v>
      </c>
      <c r="E18">
        <f t="shared" si="0"/>
        <v>7.85</v>
      </c>
      <c r="F18">
        <f>INT(16.2*(15.3-E18)^2)</f>
        <v>899</v>
      </c>
    </row>
    <row r="19" spans="1:6">
      <c r="A19" s="1" t="s">
        <v>61</v>
      </c>
      <c r="B19" s="3"/>
      <c r="C19" s="3"/>
      <c r="D19" s="3">
        <v>8.5399999999999991</v>
      </c>
      <c r="E19">
        <f t="shared" si="0"/>
        <v>8.5399999999999991</v>
      </c>
      <c r="F19">
        <f>INT(13.19*(16.8-E19)^2)</f>
        <v>899</v>
      </c>
    </row>
    <row r="20" spans="1:6">
      <c r="A20" s="1" t="s">
        <v>60</v>
      </c>
      <c r="B20" s="3"/>
      <c r="C20" s="3"/>
      <c r="D20" s="3">
        <v>9.2200000000000006</v>
      </c>
      <c r="E20">
        <f t="shared" si="0"/>
        <v>9.2200000000000006</v>
      </c>
      <c r="F20">
        <f>INT(11.16*(18.2-E20)^2)</f>
        <v>899</v>
      </c>
    </row>
    <row r="21" spans="1:6">
      <c r="A21" s="1" t="s">
        <v>13</v>
      </c>
      <c r="B21" s="3"/>
      <c r="C21" s="3">
        <v>1</v>
      </c>
      <c r="D21" s="3">
        <v>47.61</v>
      </c>
      <c r="E21">
        <f t="shared" si="0"/>
        <v>107.61</v>
      </c>
      <c r="F21">
        <f>INT(0.0826*(212-E21)^2)</f>
        <v>900</v>
      </c>
    </row>
    <row r="22" spans="1:6">
      <c r="A22" s="1" t="s">
        <v>2</v>
      </c>
      <c r="B22" s="3"/>
      <c r="C22" s="3">
        <v>4</v>
      </c>
      <c r="D22" s="3">
        <v>3.03</v>
      </c>
      <c r="E22">
        <f t="shared" si="0"/>
        <v>243.03</v>
      </c>
      <c r="F22">
        <f>INT(0.0155*(484-E22)^2)</f>
        <v>900</v>
      </c>
    </row>
    <row r="23" spans="1:6">
      <c r="A23" s="1" t="s">
        <v>41</v>
      </c>
      <c r="B23" s="1"/>
      <c r="C23" s="1"/>
      <c r="D23" s="1"/>
      <c r="E23" s="4">
        <v>1.67</v>
      </c>
      <c r="F23">
        <f>INT(39.34*(E23+10.574)^2-5000)</f>
        <v>897</v>
      </c>
    </row>
    <row r="24" spans="1:6">
      <c r="A24" s="1" t="s">
        <v>42</v>
      </c>
      <c r="B24" s="1"/>
      <c r="C24" s="1"/>
      <c r="D24" s="1"/>
      <c r="E24" s="4">
        <v>3.8</v>
      </c>
      <c r="F24">
        <f>INT(3.953*(E24+34.83)^2-5000)</f>
        <v>898</v>
      </c>
    </row>
    <row r="25" spans="1:6">
      <c r="A25" s="1" t="s">
        <v>43</v>
      </c>
      <c r="B25" s="1"/>
      <c r="C25" s="1"/>
      <c r="D25" s="1"/>
      <c r="E25" s="4">
        <v>5.54</v>
      </c>
      <c r="F25">
        <f>INT(1.966*(E25+49.24)^2-5000)</f>
        <v>899</v>
      </c>
    </row>
    <row r="26" spans="1:6">
      <c r="A26" s="1" t="s">
        <v>44</v>
      </c>
      <c r="B26" s="1"/>
      <c r="C26" s="1"/>
      <c r="D26" s="1"/>
      <c r="E26" s="4">
        <v>11.86</v>
      </c>
      <c r="F26">
        <f>INT(0.4282*(E26+105.53)^2-5000)</f>
        <v>900</v>
      </c>
    </row>
    <row r="27" spans="1:6">
      <c r="A27" s="1" t="s">
        <v>45</v>
      </c>
      <c r="B27" s="1"/>
      <c r="C27" s="1"/>
      <c r="D27" s="1"/>
      <c r="E27" s="4">
        <v>15.07</v>
      </c>
      <c r="F27">
        <f>INT(0.0462*(E27+657.53)^2-20000)</f>
        <v>900</v>
      </c>
    </row>
    <row r="28" spans="1:6">
      <c r="A28" s="1" t="s">
        <v>62</v>
      </c>
      <c r="B28" s="1"/>
      <c r="C28" s="1"/>
      <c r="D28" s="1"/>
      <c r="E28" s="4">
        <v>3731</v>
      </c>
      <c r="F28">
        <f>INT(0.0000029445*(E28+41033)^2-5000)</f>
        <v>900</v>
      </c>
    </row>
  </sheetData>
  <sheetProtection sheet="1" objects="1" scenarios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2017 AL MASC</vt:lpstr>
      <vt:lpstr>2017 PC MASC</vt:lpstr>
      <vt:lpstr>2017 AL FEM</vt:lpstr>
      <vt:lpstr>2017 PC FEM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Cesareo</dc:creator>
  <cp:lastModifiedBy>cencinas</cp:lastModifiedBy>
  <dcterms:created xsi:type="dcterms:W3CDTF">2018-04-27T18:23:21Z</dcterms:created>
  <dcterms:modified xsi:type="dcterms:W3CDTF">2018-06-21T09:34:13Z</dcterms:modified>
</cp:coreProperties>
</file>